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s\"/>
    </mc:Choice>
  </mc:AlternateContent>
  <xr:revisionPtr revIDLastSave="0" documentId="8_{FF055B76-2700-43B0-92AF-A0908BA12141}" xr6:coauthVersionLast="47" xr6:coauthVersionMax="47" xr10:uidLastSave="{00000000-0000-0000-0000-000000000000}"/>
  <bookViews>
    <workbookView xWindow="-108" yWindow="-108" windowWidth="23256" windowHeight="14016" xr2:uid="{F634DC18-70BC-45DC-A0D5-7C4530AD4F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A8" i="1" s="1"/>
  <c r="G2" i="1"/>
  <c r="H2" i="1" s="1"/>
  <c r="A5" i="1" l="1"/>
</calcChain>
</file>

<file path=xl/sharedStrings.xml><?xml version="1.0" encoding="utf-8"?>
<sst xmlns="http://schemas.openxmlformats.org/spreadsheetml/2006/main" count="15" uniqueCount="15">
  <si>
    <t>Prix du sous-jacent (S)</t>
  </si>
  <si>
    <t>Maturité en années (T)</t>
  </si>
  <si>
    <t>Taux sans risque (r)</t>
  </si>
  <si>
    <t>Volatilité (sigma)</t>
  </si>
  <si>
    <t xml:space="preserve">d2     </t>
  </si>
  <si>
    <t xml:space="preserve">d1      </t>
  </si>
  <si>
    <t>Colonne1</t>
  </si>
  <si>
    <t>Somme</t>
  </si>
  <si>
    <t>Moyenne</t>
  </si>
  <si>
    <t>Résultat cumulé</t>
  </si>
  <si>
    <t>Nombre</t>
  </si>
  <si>
    <t xml:space="preserve"> Call (C)</t>
  </si>
  <si>
    <t>Put (P)</t>
  </si>
  <si>
    <t>Strike (K)</t>
  </si>
  <si>
    <t>Vérification Parité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</si>
</sst>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9"/>
        <bgColor theme="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3" fillId="2" borderId="5" xfId="0" applyFont="1" applyFill="1" applyBorder="1" applyAlignment="1"/>
    <xf numFmtId="0" fontId="2" fillId="2" borderId="6" xfId="0" applyFont="1" applyFill="1" applyBorder="1" applyAlignment="1"/>
    <xf numFmtId="9" fontId="0" fillId="3" borderId="2" xfId="1" applyNumberFormat="1" applyFont="1" applyFill="1" applyBorder="1"/>
    <xf numFmtId="10" fontId="0" fillId="3" borderId="3" xfId="1" applyNumberFormat="1" applyFont="1" applyFill="1" applyBorder="1"/>
    <xf numFmtId="0" fontId="2" fillId="4" borderId="4" xfId="0" applyFont="1" applyFill="1" applyBorder="1"/>
    <xf numFmtId="0" fontId="2" fillId="4" borderId="6" xfId="0" applyFont="1" applyFill="1" applyBorder="1"/>
    <xf numFmtId="0" fontId="0" fillId="5" borderId="1" xfId="0" applyFont="1" applyFill="1" applyBorder="1"/>
    <xf numFmtId="0" fontId="0" fillId="5" borderId="3" xfId="0" applyFont="1" applyFill="1" applyBorder="1"/>
    <xf numFmtId="0" fontId="2" fillId="6" borderId="8" xfId="0" applyFont="1" applyFill="1" applyBorder="1"/>
    <xf numFmtId="0" fontId="0" fillId="7" borderId="7" xfId="0" applyFont="1" applyFill="1" applyBorder="1"/>
    <xf numFmtId="0" fontId="0" fillId="8" borderId="0" xfId="0" applyFill="1"/>
    <xf numFmtId="0" fontId="0" fillId="9" borderId="0" xfId="0" applyFill="1"/>
  </cellXfs>
  <cellStyles count="2">
    <cellStyle name="Normal" xfId="0" builtinId="0"/>
    <cellStyle name="Pourcentag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F646-C886-42FA-81BA-1AF6EF1E0C40}">
  <sheetPr codeName="Feuil1"/>
  <dimension ref="A1:H8"/>
  <sheetViews>
    <sheetView tabSelected="1" workbookViewId="0">
      <selection activeCell="D9" sqref="D9"/>
    </sheetView>
  </sheetViews>
  <sheetFormatPr baseColWidth="10" defaultRowHeight="14.4" x14ac:dyDescent="0.3"/>
  <cols>
    <col min="1" max="1" width="19.5546875" bestFit="1" customWidth="1"/>
    <col min="2" max="2" width="8.77734375" bestFit="1" customWidth="1"/>
    <col min="3" max="3" width="19.21875" bestFit="1" customWidth="1"/>
    <col min="4" max="4" width="20.33203125" bestFit="1" customWidth="1"/>
    <col min="5" max="5" width="15.33203125" bestFit="1" customWidth="1"/>
    <col min="7" max="8" width="12.6640625" bestFit="1" customWidth="1"/>
  </cols>
  <sheetData>
    <row r="1" spans="1:8" x14ac:dyDescent="0.3">
      <c r="A1" s="3" t="s">
        <v>0</v>
      </c>
      <c r="B1" s="4" t="s">
        <v>13</v>
      </c>
      <c r="C1" s="4" t="s">
        <v>1</v>
      </c>
      <c r="D1" s="5" t="s">
        <v>2</v>
      </c>
      <c r="E1" s="6" t="s">
        <v>3</v>
      </c>
      <c r="G1" s="9" t="s">
        <v>5</v>
      </c>
      <c r="H1" s="10" t="s">
        <v>4</v>
      </c>
    </row>
    <row r="2" spans="1:8" x14ac:dyDescent="0.3">
      <c r="A2" s="1">
        <v>58</v>
      </c>
      <c r="B2" s="2">
        <v>60</v>
      </c>
      <c r="C2" s="2">
        <v>0.25</v>
      </c>
      <c r="D2" s="7">
        <v>0.03</v>
      </c>
      <c r="E2" s="8">
        <v>0.2</v>
      </c>
      <c r="G2" s="11">
        <f>(LN(A2/B2)+(D2+E2^2/2)*C2)/(E2*SQRT(C2))</f>
        <v>-0.21401551675681338</v>
      </c>
      <c r="H2" s="12">
        <f>G2-(E2*SQRT(C2))</f>
        <v>-0.31401551675681338</v>
      </c>
    </row>
    <row r="4" spans="1:8" x14ac:dyDescent="0.3">
      <c r="A4" s="13" t="s">
        <v>11</v>
      </c>
      <c r="C4" s="13" t="s">
        <v>12</v>
      </c>
    </row>
    <row r="5" spans="1:8" x14ac:dyDescent="0.3">
      <c r="A5" s="14">
        <f>A2*_xlfn.NORM.S.DIST(G2,TRUE)-B2*EXP(-D2*C2)*_xlfn.NORM.S.DIST(H2,TRUE)</f>
        <v>1.6491415323635046</v>
      </c>
      <c r="C5" s="14">
        <f>B2*EXP(-D2*C2)*_xlfn.NORM.S.DIST(-H2,TRUE) - A2*_xlfn.NORM.S.DIST(-G2,TRUE)</f>
        <v>3.2008248215118087</v>
      </c>
    </row>
    <row r="7" spans="1:8" x14ac:dyDescent="0.3">
      <c r="A7" s="15" t="s">
        <v>14</v>
      </c>
    </row>
    <row r="8" spans="1:8" x14ac:dyDescent="0.3">
      <c r="A8" s="16" t="str">
        <f>IF(ROUND(A5-C5, 4) = ROUND(A2 - B2*EXP(-D2*C2), 4), "OK ✅", "ERREUR ❌")</f>
        <v>OK ✅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2025-11-27T17:02:09Z</dcterms:created>
  <dcterms:modified xsi:type="dcterms:W3CDTF">2025-11-27T19:54:53Z</dcterms:modified>
</cp:coreProperties>
</file>